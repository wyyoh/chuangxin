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a6fd8ab1a2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a78f4b65244517"/>
    <x:sheet xmlns:r="http://schemas.openxmlformats.org/officeDocument/2006/relationships" name="PerCase" sheetId="2" r:id="R6853ac77b9074e6d"/>
    <x:sheet xmlns:r="http://schemas.openxmlformats.org/officeDocument/2006/relationships" name="Checks" sheetId="3" r:id="Rcd836105648e47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sz val="11"/>
      <x:name val="Calibri"/>
    </x:font>
    <x:font>
      <x:sz val="11"/>
      <x:color rgb="FFFFFFFF"/>
      <x:name val="Calibri"/>
    </x:font>
    <x:font>
      <x:b/>
      <x:sz val="11"/>
      <x:color rgb="FFFFFFFF"/>
      <x:name val="Calibri"/>
    </x:font>
    <x:font>
      <x:b/>
      <x:sz val="16"/>
      <x:color rgb="FFFFFFFF"/>
      <x:name val="Calibri"/>
    </x:font>
    <x:font>
      <x:b/>
      <x:sz val="1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70AD47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1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4" borderId="1" xfId="0" applyNumberFormat="1" applyFont="1" applyFill="1" applyBorder="1"/>
    <x:xf numFmtId="0" fontId="1" fillId="0" borderId="1" xfId="0" applyNumberFormat="1" applyFont="1" applyFill="1" applyBorder="1"/>
    <x:xf numFmtId="0" fontId="2" fillId="6" borderId="1" xfId="0" applyNumberFormat="1" applyFont="1" applyFill="1" applyBorder="1"/>
    <x:xf numFmtId="200" fontId="1" fillId="0" borderId="1" xfId="0" applyNumberFormat="1" applyFont="1" applyFill="1" applyBorder="1"/>
    <x:xf numFmtId="200" fontId="1" fillId="0" borderId="0" xfId="0" applyNumberFormat="1" applyFont="1" applyFill="1" applyBorder="1"/>
    <x:xf numFmtId="20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794df7d66c46b1" /><Relationship Type="http://schemas.openxmlformats.org/officeDocument/2006/relationships/theme" Target="/xl/theme/theme1.xml" Id="R75a437d77dbb4742" /><Relationship Type="http://schemas.openxmlformats.org/officeDocument/2006/relationships/sharedStrings" Target="/xl/sharedStrings.xml" Id="R9123d59afbd341ae" /><Relationship Type="http://schemas.openxmlformats.org/officeDocument/2006/relationships/worksheet" Target="/xl/worksheets/sheet1.xml" Id="R57a78f4b65244517" /><Relationship Type="http://schemas.openxmlformats.org/officeDocument/2006/relationships/worksheet" Target="/xl/worksheets/sheet2.xml" Id="R6853ac77b9074e6d" /><Relationship Type="http://schemas.openxmlformats.org/officeDocument/2006/relationships/worksheet" Target="/xl/worksheets/sheet3.xml" Id="Rcd836105648e47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3.62999725341797" hidden="0" customWidth="1"/>
    <x:col min="2" max="2" width="23" hidden="0" customWidth="1"/>
    <x:col min="3" max="3" width="5.25" hidden="0" customWidth="1"/>
    <x:col min="4" max="4" width="16.75" hidden="0" customWidth="1"/>
    <x:col min="5" max="5" width="10.5" hidden="0" customWidth="1"/>
    <x:col min="6" max="6" width="9.130000114440918" hidden="0" customWidth="1"/>
    <x:col min="7" max="7" width="9.130000114440918" hidden="0" customWidth="1"/>
    <x:col min="8" max="8" width="32.630001068115234" hidden="0" customWidth="1"/>
  </x:cols>
  <x:sheetData>
    <x:row r="1" ht="15" hidden="0" customHeight="1">
      <x:c r="A1" s="5" t="str">
        <x:v>R11S Packaging Dry-Run Scoreboard</x:v>
      </x:c>
      <x:c r="B1" s="5"/>
      <x:c r="C1" s="5"/>
      <x:c r="D1" s="5"/>
      <x:c r="E1" s="5"/>
      <x:c r="F1" s="5"/>
      <x:c r="G1" s="5"/>
      <x:c r="H1" s="5"/>
    </x:row>
    <x:row r="2" ht="15" hidden="0" customHeight="1">
      <x:c r="A2" s="6" t="str">
        <x:v>Source: reports/r11s_packaging_dryrun_full30_metrics.csv; baseline: final_selector_v3_20260622</x:v>
      </x:c>
      <x:c r="B2" s="6"/>
      <x:c r="C2" s="6"/>
      <x:c r="D2" s="6"/>
      <x:c r="E2" s="6"/>
      <x:c r="F2" s="6"/>
      <x:c r="G2" s="6"/>
      <x:c r="H2" s="6"/>
    </x:row>
    <x:row r="3" ht="15" hidden="0" customHeight="1">
      <x:c r="A3" s="1"/>
      <x:c r="B3" s="1"/>
      <x:c r="C3" s="1"/>
      <x:c r="D3" s="1"/>
      <x:c r="E3" s="1"/>
      <x:c r="F3" s="1"/>
      <x:c r="G3" s="1"/>
      <x:c r="H3" s="1"/>
    </x:row>
    <x:row r="4" ht="15" hidden="0" customHeight="1">
      <x:c r="A4" s="13" t="str">
        <x:v>Metric</x:v>
      </x:c>
      <x:c r="B4" s="13" t="str">
        <x:v>Value</x:v>
      </x:c>
      <x:c r="C4" s="1"/>
      <x:c r="D4" s="13" t="str">
        <x:v>Gate</x:v>
      </x:c>
      <x:c r="E4" s="13" t="str">
        <x:v>Status</x:v>
      </x:c>
      <x:c r="F4" s="13" t="str">
        <x:v>Expected</x:v>
      </x:c>
      <x:c r="G4" s="13" t="str">
        <x:v>Observed</x:v>
      </x:c>
      <x:c r="H4" s="13" t="str">
        <x:v>Notes</x:v>
      </x:c>
    </x:row>
    <x:row r="5" ht="15" hidden="0" customHeight="1">
      <x:c r="A5" s="14" t="str">
        <x:v>Total nodes</x:v>
      </x:c>
      <x:c r="B5" s="16" t="n">
        <x:f>SUM('PerCase'!E2:E31)</x:f>
        <x:v>41004</x:v>
      </x:c>
      <x:c r="C5" s="17"/>
      <x:c r="D5" s="16" t="str">
        <x:v>Nodes</x:v>
      </x:c>
      <x:c r="E5" s="14" t="str">
        <x:v>PASS</x:v>
      </x:c>
      <x:c r="F5" s="14" t="n">
        <x:v>43775</x:v>
      </x:c>
      <x:c r="G5" s="16" t="n">
        <x:f>B5</x:f>
        <x:v>41004</x:v>
      </x:c>
      <x:c r="H5" s="14" t="str">
        <x:v>Lower is better; official weight 50%</x:v>
      </x:c>
    </x:row>
    <x:row r="6" ht="15" hidden="0" customHeight="1">
      <x:c r="A6" s="14" t="str">
        <x:v>Max level</x:v>
      </x:c>
      <x:c r="B6" s="16" t="n">
        <x:f>MAX('PerCase'!F2:F31)</x:f>
        <x:v>20</x:v>
      </x:c>
      <x:c r="C6" s="17"/>
      <x:c r="D6" s="16" t="str">
        <x:v>Max level</x:v>
      </x:c>
      <x:c r="E6" s="14" t="str">
        <x:v>PASS</x:v>
      </x:c>
      <x:c r="F6" s="14" t="n">
        <x:v>21</x:v>
      </x:c>
      <x:c r="G6" s="16" t="n">
        <x:f>B6</x:f>
        <x:v>20</x:v>
      </x:c>
      <x:c r="H6" s="14" t="str">
        <x:v>Lower is better; official weight 20%</x:v>
      </x:c>
    </x:row>
    <x:row r="7" ht="15" hidden="0" customHeight="1">
      <x:c r="A7" s="14" t="str">
        <x:v>Total levels</x:v>
      </x:c>
      <x:c r="B7" s="16" t="n">
        <x:f>SUM('PerCase'!F2:F31)</x:f>
        <x:v>285</x:v>
      </x:c>
      <x:c r="C7" s="1"/>
      <x:c r="D7" s="14" t="str">
        <x:v>CEC</x:v>
      </x:c>
      <x:c r="E7" s="14" t="str">
        <x:v>PASS</x:v>
      </x:c>
      <x:c r="F7" s="14" t="str">
        <x:v>30/30</x:v>
      </x:c>
      <x:c r="G7" s="14" t="str">
        <x:f>B8&amp;"/30"</x:f>
        <x:v>30/30</x:v>
      </x:c>
      <x:c r="H7" s="14" t="str">
        <x:v>Correctness precondition</x:v>
      </x:c>
    </x:row>
    <x:row r="8" ht="15" hidden="0" customHeight="1">
      <x:c r="A8" s="14" t="str">
        <x:v>CEC pass count</x:v>
      </x:c>
      <x:c r="B8" s="16" t="n">
        <x:f>COUNTIF('PerCase'!L2:L31,"TRUE")</x:f>
        <x:v>30</x:v>
      </x:c>
      <x:c r="C8" s="1"/>
      <x:c r="D8" s="14" t="str">
        <x:v>Fallback</x:v>
      </x:c>
      <x:c r="E8" s="14" t="str">
        <x:v>PASS</x:v>
      </x:c>
      <x:c r="F8" s="14" t="n">
        <x:v>0</x:v>
      </x:c>
      <x:c r="G8" s="14" t="n">
        <x:f>B9</x:f>
        <x:v>0</x:v>
      </x:c>
      <x:c r="H8" s="14" t="str">
        <x:v>No fallback-selected cases</x:v>
      </x:c>
    </x:row>
    <x:row r="9" ht="15" hidden="0" customHeight="1">
      <x:c r="A9" s="14" t="str">
        <x:v>Fallback count</x:v>
      </x:c>
      <x:c r="B9" s="14" t="n">
        <x:f>COUNTIF('PerCase'!M2:M31,"&lt;&gt;selected_candidate")</x:f>
        <x:v>0</x:v>
      </x:c>
      <x:c r="C9" s="1"/>
      <x:c r="D9" s="14" t="str">
        <x:v>Identity stress</x:v>
      </x:c>
      <x:c r="E9" s="14" t="str">
        <x:v>PASS</x:v>
      </x:c>
      <x:c r="F9" s="14" t="str">
        <x:v>0 mismatch</x:v>
      </x:c>
      <x:c r="G9" s="14" t="str">
        <x:v>0 mismatch</x:v>
      </x:c>
      <x:c r="H9" s="14" t="str">
        <x:v>Random case-name and PI/PO-name stress</x:v>
      </x:c>
    </x:row>
    <x:row r="10" ht="15" hidden="0" customHeight="1">
      <x:c r="A10" s="14" t="str">
        <x:v>Wins / Ties / Losses vs v3</x:v>
      </x:c>
      <x:c r="B10" s="14" t="str">
        <x:f>COUNTIF('PerCase'!H2:H31,"&gt;0")&amp;" / "&amp;COUNTIF('PerCase'!H2:H31,"=0")&amp;" / "&amp;COUNTIF('PerCase'!H2:H31,"&lt;0")</x:f>
        <x:v>16 / 14 / 0</x:v>
      </x:c>
      <x:c r="C10" s="1"/>
      <x:c r="D10" s="14" t="str">
        <x:v>Packaged CEC dry-run</x:v>
      </x:c>
      <x:c r="E10" s="14" t="str">
        <x:v>PASS</x:v>
      </x:c>
      <x:c r="F10" s="14" t="str">
        <x:v>30/30</x:v>
      </x:c>
      <x:c r="G10" s="14" t="str">
        <x:v>30/30</x:v>
      </x:c>
      <x:c r="H10" s="14" t="str">
        <x:v>Scratch package only, not final zip</x:v>
      </x:c>
    </x:row>
    <x:row r="11" ht="15" hidden="0" customHeight="1">
      <x:c r="A11" s="14" t="str">
        <x:v>Readiness checks passed</x:v>
      </x:c>
      <x:c r="B11" s="14" t="str">
        <x:f>COUNTIF('Checks'!B2:B40,"PASS")&amp;" / "&amp;COUNTA('Checks'!B2:B40)</x:f>
        <x:v>32 / 32</x:v>
      </x:c>
      <x:c r="C11" s="1"/>
      <x:c r="D11" s="14" t="str">
        <x:v>Submit zip</x:v>
      </x:c>
      <x:c r="E11" s="14" t="str">
        <x:v>UNCHANGED</x:v>
      </x:c>
      <x:c r="F11" s="14" t="str">
        <x:v>old v3 hash</x:v>
      </x:c>
      <x:c r="G11" s="14" t="str">
        <x:v>unchanged</x:v>
      </x:c>
      <x:c r="H11" s="14" t="str">
        <x:v>Formal release packaging not run</x:v>
      </x:c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</x:row>
    <x:row r="13" ht="15" hidden="0" customHeight="1">
      <x:c r="A13" s="10" t="str">
        <x:v>Top Node Gains vs Formal v3</x:v>
      </x:c>
      <x:c r="B13" s="10" t="str"/>
      <x:c r="C13" s="10" t="str"/>
      <x:c r="D13" s="10" t="str"/>
      <x:c r="E13" s="10" t="str"/>
      <x:c r="F13" s="10" t="str"/>
      <x:c r="G13" s="10" t="str"/>
      <x:c r="H13" s="10" t="str"/>
    </x:row>
    <x:row r="14" ht="15" hidden="0" customHeight="1">
      <x:c r="A14" s="15" t="str">
        <x:v>Case</x:v>
      </x:c>
      <x:c r="B14" s="15" t="str">
        <x:v>Pipeline</x:v>
      </x:c>
      <x:c r="C14" s="15" t="str">
        <x:v>Nodes</x:v>
      </x:c>
      <x:c r="D14" s="15" t="str">
        <x:v>v3 Nodes</x:v>
      </x:c>
      <x:c r="E14" s="15" t="str">
        <x:v>Gain</x:v>
      </x:c>
      <x:c r="F14" s="15" t="str">
        <x:v>Level Delta</x:v>
      </x:c>
      <x:c r="G14" s="1"/>
      <x:c r="H14" s="1"/>
    </x:row>
    <x:row r="15" ht="15" hidden="0" customHeight="1">
      <x:c r="A15" s="14" t="str">
        <x:v>tc_public_30</x:v>
      </x:c>
      <x:c r="B15" s="14" t="str">
        <x:v>r11_gia_deepsyn_tiny@clean</x:v>
      </x:c>
      <x:c r="C15" s="14" t="n">
        <x:v>2853</x:v>
      </x:c>
      <x:c r="D15" s="14" t="n">
        <x:v>4806</x:v>
      </x:c>
      <x:c r="E15" s="14" t="n">
        <x:v>1953</x:v>
      </x:c>
      <x:c r="F15" s="14" t="n">
        <x:v>-3</x:v>
      </x:c>
      <x:c r="G15" s="1"/>
      <x:c r="H15" s="1"/>
    </x:row>
    <x:row r="16" ht="15" hidden="0" customHeight="1">
      <x:c r="A16" s="14" t="str">
        <x:v>tc_public_22</x:v>
      </x:c>
      <x:c r="B16" s="14" t="str">
        <x:v>r9_dc2_fraig_cleanup@both</x:v>
      </x:c>
      <x:c r="C16" s="14" t="n">
        <x:v>10740</x:v>
      </x:c>
      <x:c r="D16" s="14" t="n">
        <x:v>11001</x:v>
      </x:c>
      <x:c r="E16" s="14" t="n">
        <x:v>261</x:v>
      </x:c>
      <x:c r="F16" s="14" t="n">
        <x:v>0</x:v>
      </x:c>
      <x:c r="G16" s="1"/>
      <x:c r="H16" s="1"/>
    </x:row>
    <x:row r="17" ht="15" hidden="0" customHeight="1">
      <x:c r="A17" s="14" t="str">
        <x:v>tc_public_19</x:v>
      </x:c>
      <x:c r="B17" s="14" t="str">
        <x:v>r9_dc2_fraig_cleanup@inputs</x:v>
      </x:c>
      <x:c r="C17" s="14" t="n">
        <x:v>5184</x:v>
      </x:c>
      <x:c r="D17" s="14" t="n">
        <x:v>5268</x:v>
      </x:c>
      <x:c r="E17" s="14" t="n">
        <x:v>84</x:v>
      </x:c>
      <x:c r="F17" s="14" t="n">
        <x:v>0</x:v>
      </x:c>
      <x:c r="G17" s="1"/>
      <x:c r="H17" s="1"/>
    </x:row>
    <x:row r="18" ht="15" hidden="0" customHeight="1">
      <x:c r="A18" s="14" t="str">
        <x:v>tc_public_21</x:v>
      </x:c>
      <x:c r="B18" s="14" t="str">
        <x:v>r9_dc2_fraig_cleanup@inputs</x:v>
      </x:c>
      <x:c r="C18" s="14" t="n">
        <x:v>5448</x:v>
      </x:c>
      <x:c r="D18" s="14" t="n">
        <x:v>5532</x:v>
      </x:c>
      <x:c r="E18" s="14" t="n">
        <x:v>84</x:v>
      </x:c>
      <x:c r="F18" s="14" t="n">
        <x:v>0</x:v>
      </x:c>
      <x:c r="G18" s="1"/>
      <x:c r="H18" s="1"/>
    </x:row>
    <x:row r="19" ht="15" hidden="0" customHeight="1">
      <x:c r="A19" s="14" t="str">
        <x:v>tc_public_20</x:v>
      </x:c>
      <x:c r="B19" s="14" t="str">
        <x:v>r9_dc2_fraig_cleanup@inputs</x:v>
      </x:c>
      <x:c r="C19" s="14" t="n">
        <x:v>5445</x:v>
      </x:c>
      <x:c r="D19" s="14" t="n">
        <x:v>5523</x:v>
      </x:c>
      <x:c r="E19" s="14" t="n">
        <x:v>78</x:v>
      </x:c>
      <x:c r="F19" s="14" t="n">
        <x:v>0</x:v>
      </x:c>
      <x:c r="G19" s="1"/>
      <x:c r="H19" s="1"/>
    </x:row>
    <x:row r="20" ht="15" hidden="0" customHeight="1">
      <x:c r="A20" s="14" t="str">
        <x:v>tc_public_23</x:v>
      </x:c>
      <x:c r="B20" s="14" t="str">
        <x:v>r11_gia_deepsyn_tiny@clean</x:v>
      </x:c>
      <x:c r="C20" s="14" t="n">
        <x:v>1458</x:v>
      </x:c>
      <x:c r="D20" s="14" t="n">
        <x:v>1530</x:v>
      </x:c>
      <x:c r="E20" s="14" t="n">
        <x:v>72</x:v>
      </x:c>
      <x:c r="F20" s="14" t="n">
        <x:v>-2</x:v>
      </x:c>
      <x:c r="G20" s="1"/>
      <x:c r="H20" s="1"/>
    </x:row>
    <x:row r="21" ht="15" hidden="0" customHeight="1">
      <x:c r="A21" s="14" t="str">
        <x:v>tc_public_7</x:v>
      </x:c>
      <x:c r="B21" s="14" t="str">
        <x:v>r11_gia_deepsyn_tiny@clean</x:v>
      </x:c>
      <x:c r="C21" s="14" t="n">
        <x:v>191</x:v>
      </x:c>
      <x:c r="D21" s="14" t="n">
        <x:v>252</x:v>
      </x:c>
      <x:c r="E21" s="14" t="n">
        <x:v>61</x:v>
      </x:c>
      <x:c r="F21" s="14" t="n">
        <x:v>0</x:v>
      </x:c>
      <x:c r="G21" s="1"/>
      <x:c r="H21" s="1"/>
    </x:row>
    <x:row r="22" ht="15" hidden="0" customHeight="1">
      <x:c r="A22" s="14" t="str">
        <x:v>tc_public_10</x:v>
      </x:c>
      <x:c r="B22" s="14" t="str">
        <x:v>r11_gia_deepsyn_tiny@clean</x:v>
      </x:c>
      <x:c r="C22" s="14" t="n">
        <x:v>101</x:v>
      </x:c>
      <x:c r="D22" s="14" t="n">
        <x:v>161</x:v>
      </x:c>
      <x:c r="E22" s="14" t="n">
        <x:v>60</x:v>
      </x:c>
      <x:c r="F22" s="14" t="n">
        <x:v>0</x:v>
      </x:c>
      <x:c r="G22" s="1"/>
      <x:c r="H22" s="1"/>
    </x:row>
    <x:row r="23" ht="15" hidden="0" customHeight="1">
      <x:c r="A23" s="14" t="str">
        <x:v>tc_public_9</x:v>
      </x:c>
      <x:c r="B23" s="14" t="str">
        <x:v>r11_gia_deepsyn_tiny@clean</x:v>
      </x:c>
      <x:c r="C23" s="14" t="n">
        <x:v>194</x:v>
      </x:c>
      <x:c r="D23" s="14" t="n">
        <x:v>224</x:v>
      </x:c>
      <x:c r="E23" s="14" t="n">
        <x:v>30</x:v>
      </x:c>
      <x:c r="F23" s="14" t="n">
        <x:v>-1</x:v>
      </x:c>
      <x:c r="G23" s="1"/>
      <x:c r="H23" s="1"/>
    </x:row>
    <x:row r="24" ht="15" hidden="0" customHeight="1">
      <x:c r="A24" s="14" t="str">
        <x:v>tc_public_1</x:v>
      </x:c>
      <x:c r="B24" s="14" t="str">
        <x:v>r11_gia_deepsyn_tiny@both</x:v>
      </x:c>
      <x:c r="C24" s="14" t="n">
        <x:v>85</x:v>
      </x:c>
      <x:c r="D24" s="14" t="n">
        <x:v>103</x:v>
      </x:c>
      <x:c r="E24" s="14" t="n">
        <x:v>18</x:v>
      </x:c>
      <x:c r="F24" s="14" t="n">
        <x:v>-2</x:v>
      </x:c>
      <x:c r="G24" s="1"/>
      <x:c r="H24" s="1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130000114440918" hidden="0" customWidth="1"/>
    <x:col min="2" max="2" width="34.380001068115234" hidden="0" customWidth="1"/>
    <x:col min="3" max="3" width="26.75" hidden="0" customWidth="1"/>
    <x:col min="4" max="4" width="12" hidden="0" customWidth="1"/>
    <x:col min="5" max="5" width="5.25" hidden="0" customWidth="1"/>
    <x:col min="6" max="6" width="4.75" hidden="0" customWidth="1"/>
    <x:col min="7" max="7" width="7.75" hidden="0" customWidth="1"/>
    <x:col min="8" max="8" width="13.5" hidden="0" customWidth="1"/>
    <x:col min="9" max="9" width="7.380000114440918" hidden="0" customWidth="1"/>
    <x:col min="10" max="10" width="13.880000114440918" hidden="0" customWidth="1"/>
    <x:col min="11" max="11" width="13.25" hidden="0" customWidth="1"/>
    <x:col min="12" max="12" width="7.25" hidden="0" customWidth="1"/>
    <x:col min="13" max="13" width="15" hidden="0" customWidth="1"/>
  </x:cols>
  <x:sheetData>
    <x:row r="1" ht="15" hidden="0" customHeight="1">
      <x:c r="A1" s="4" t="str">
        <x:v>case</x:v>
      </x:c>
      <x:c r="B1" s="4" t="str">
        <x:v>selector_reason</x:v>
      </x:c>
      <x:c r="C1" s="4" t="str">
        <x:v>selected_pipeline</x:v>
      </x:c>
      <x:c r="D1" s="4" t="str">
        <x:v>chosen_variant</x:v>
      </x:c>
      <x:c r="E1" s="18" t="str">
        <x:v>nodes</x:v>
      </x:c>
      <x:c r="F1" s="18" t="str">
        <x:v>levels</x:v>
      </x:c>
      <x:c r="G1" s="18" t="str">
        <x:v>v3_nodes</x:v>
      </x:c>
      <x:c r="H1" s="18" t="str">
        <x:v>node_gain_vs_v3</x:v>
      </x:c>
      <x:c r="I1" s="18" t="str">
        <x:v>v3_levels</x:v>
      </x:c>
      <x:c r="J1" s="18" t="str">
        <x:v>level_delta_vs_v3</x:v>
      </x:c>
      <x:c r="K1" s="18" t="str">
        <x:v>opt_runtime_sec</x:v>
      </x:c>
      <x:c r="L1" s="4" t="str">
        <x:v>cec_pass</x:v>
      </x:c>
      <x:c r="M1" s="4" t="str">
        <x:v>status</x:v>
      </x:c>
    </x:row>
    <x:row r="2" ht="15" hidden="0" customHeight="1">
      <x:c r="A2" s="1" t="str">
        <x:v>tc_public_1</x:v>
      </x:c>
      <x:c r="B2" s="1" t="str">
        <x:v>r11_deepsyn_tiny_high_sop_small_po</x:v>
      </x:c>
      <x:c r="C2" s="1" t="str">
        <x:v>r11_gia_deepsyn_tiny@both</x:v>
      </x:c>
      <x:c r="D2" s="1" t="str">
        <x:v>both</x:v>
      </x:c>
      <x:c r="E2" s="17" t="n">
        <x:v>85</x:v>
      </x:c>
      <x:c r="F2" s="17" t="n">
        <x:v>8</x:v>
      </x:c>
      <x:c r="G2" s="17" t="n">
        <x:v>103</x:v>
      </x:c>
      <x:c r="H2" s="17" t="n">
        <x:v>18</x:v>
      </x:c>
      <x:c r="I2" s="17" t="n">
        <x:v>10</x:v>
      </x:c>
      <x:c r="J2" s="17" t="n">
        <x:v>-2</x:v>
      </x:c>
      <x:c r="K2" s="17" t="n">
        <x:v>11.465228</x:v>
      </x:c>
      <x:c r="L2" s="1" t="str">
        <x:v>TRUE</x:v>
      </x:c>
      <x:c r="M2" s="1" t="str">
        <x:v>selected_candidate</x:v>
      </x:c>
    </x:row>
    <x:row r="3" ht="15" hidden="0" customHeight="1">
      <x:c r="A3" s="1" t="str">
        <x:v>tc_public_10</x:v>
      </x:c>
      <x:c r="B3" s="1" t="str">
        <x:v>r11_deepsyn_small_small_pi_medium_po</x:v>
      </x:c>
      <x:c r="C3" s="1" t="str">
        <x:v>r11_gia_deepsyn_tiny@clean</x:v>
      </x:c>
      <x:c r="D3" s="1" t="str">
        <x:v>clean</x:v>
      </x:c>
      <x:c r="E3" s="17" t="n">
        <x:v>101</x:v>
      </x:c>
      <x:c r="F3" s="17" t="n">
        <x:v>4</x:v>
      </x:c>
      <x:c r="G3" s="17" t="n">
        <x:v>161</x:v>
      </x:c>
      <x:c r="H3" s="17" t="n">
        <x:v>60</x:v>
      </x:c>
      <x:c r="I3" s="17" t="n">
        <x:v>4</x:v>
      </x:c>
      <x:c r="J3" s="17" t="n">
        <x:v>0</x:v>
      </x:c>
      <x:c r="K3" s="17" t="n">
        <x:v>4.776372</x:v>
      </x:c>
      <x:c r="L3" s="1" t="str">
        <x:v>TRUE</x:v>
      </x:c>
      <x:c r="M3" s="1" t="str">
        <x:v>selected_candidate</x:v>
      </x:c>
    </x:row>
    <x:row r="4" ht="15" hidden="0" customHeight="1">
      <x:c r="A4" s="1" t="str">
        <x:v>tc_public_11</x:v>
      </x:c>
      <x:c r="B4" s="1" t="str">
        <x:v>medium_runtime_fraig_cleanup</x:v>
      </x:c>
      <x:c r="C4" s="1" t="str">
        <x:v>r10_medium_fraig_cleanup@clean</x:v>
      </x:c>
      <x:c r="D4" s="1" t="str">
        <x:v>clean</x:v>
      </x:c>
      <x:c r="E4" s="17" t="n">
        <x:v>328</x:v>
      </x:c>
      <x:c r="F4" s="17" t="n">
        <x:v>7</x:v>
      </x:c>
      <x:c r="G4" s="17" t="n">
        <x:v>328</x:v>
      </x:c>
      <x:c r="H4" s="17" t="n">
        <x:v>0</x:v>
      </x:c>
      <x:c r="I4" s="17" t="n">
        <x:v>7</x:v>
      </x:c>
      <x:c r="J4" s="17" t="n">
        <x:v>0</x:v>
      </x:c>
      <x:c r="K4" s="17" t="n">
        <x:v>0.941712</x:v>
      </x:c>
      <x:c r="L4" s="1" t="str">
        <x:v>TRUE</x:v>
      </x:c>
      <x:c r="M4" s="1" t="str">
        <x:v>selected_candidate</x:v>
      </x:c>
    </x:row>
    <x:row r="5" ht="15" hidden="0" customHeight="1">
      <x:c r="A5" s="1" t="str">
        <x:v>tc_public_12</x:v>
      </x:c>
      <x:c r="B5" s="1" t="str">
        <x:v>medium_runtime_fraig_cleanup</x:v>
      </x:c>
      <x:c r="C5" s="1" t="str">
        <x:v>r10_medium_fraig_cleanup@clean</x:v>
      </x:c>
      <x:c r="D5" s="1" t="str">
        <x:v>clean</x:v>
      </x:c>
      <x:c r="E5" s="17" t="n">
        <x:v>1370</x:v>
      </x:c>
      <x:c r="F5" s="17" t="n">
        <x:v>14</x:v>
      </x:c>
      <x:c r="G5" s="17" t="n">
        <x:v>1385</x:v>
      </x:c>
      <x:c r="H5" s="17" t="n">
        <x:v>15</x:v>
      </x:c>
      <x:c r="I5" s="17" t="n">
        <x:v>13</x:v>
      </x:c>
      <x:c r="J5" s="17" t="n">
        <x:v>1</x:v>
      </x:c>
      <x:c r="K5" s="17" t="n">
        <x:v>1.13792</x:v>
      </x:c>
      <x:c r="L5" s="1" t="str">
        <x:v>TRUE</x:v>
      </x:c>
      <x:c r="M5" s="1" t="str">
        <x:v>selected_candidate</x:v>
      </x:c>
    </x:row>
    <x:row r="6" ht="15" hidden="0" customHeight="1">
      <x:c r="A6" s="1" t="str">
        <x:v>tc_public_13</x:v>
      </x:c>
      <x:c r="B6" s="1" t="str">
        <x:v>r7b_high_overlap_guarded_fraig</x:v>
      </x:c>
      <x:c r="C6" s="1" t="str">
        <x:v>r7b_r7win_fraig_high@clean</x:v>
      </x:c>
      <x:c r="D6" s="1" t="str">
        <x:v>clean</x:v>
      </x:c>
      <x:c r="E6" s="17" t="n">
        <x:v>1043</x:v>
      </x:c>
      <x:c r="F6" s="17" t="n">
        <x:v>13</x:v>
      </x:c>
      <x:c r="G6" s="17" t="n">
        <x:v>1043</x:v>
      </x:c>
      <x:c r="H6" s="17" t="n">
        <x:v>0</x:v>
      </x:c>
      <x:c r="I6" s="17" t="n">
        <x:v>13</x:v>
      </x:c>
      <x:c r="J6" s="17" t="n">
        <x:v>0</x:v>
      </x:c>
      <x:c r="K6" s="17" t="n">
        <x:v>1.334073</x:v>
      </x:c>
      <x:c r="L6" s="1" t="str">
        <x:v>TRUE</x:v>
      </x:c>
      <x:c r="M6" s="1" t="str">
        <x:v>selected_candidate</x:v>
      </x:c>
    </x:row>
    <x:row r="7" ht="15" hidden="0" customHeight="1">
      <x:c r="A7" s="1" t="str">
        <x:v>tc_public_14</x:v>
      </x:c>
      <x:c r="B7" s="1" t="str">
        <x:v>r7b_high_overlap_guarded_fraig</x:v>
      </x:c>
      <x:c r="C7" s="1" t="str">
        <x:v>r7b_r7win_fraig_high@outputs</x:v>
      </x:c>
      <x:c r="D7" s="1" t="str">
        <x:v>outputs</x:v>
      </x:c>
      <x:c r="E7" s="17" t="n">
        <x:v>2156</x:v>
      </x:c>
      <x:c r="F7" s="17" t="n">
        <x:v>16</x:v>
      </x:c>
      <x:c r="G7" s="17" t="n">
        <x:v>2156</x:v>
      </x:c>
      <x:c r="H7" s="17" t="n">
        <x:v>0</x:v>
      </x:c>
      <x:c r="I7" s="17" t="n">
        <x:v>16</x:v>
      </x:c>
      <x:c r="J7" s="17" t="n">
        <x:v>0</x:v>
      </x:c>
      <x:c r="K7" s="17" t="n">
        <x:v>3.590817</x:v>
      </x:c>
      <x:c r="L7" s="1" t="str">
        <x:v>TRUE</x:v>
      </x:c>
      <x:c r="M7" s="1" t="str">
        <x:v>selected_candidate</x:v>
      </x:c>
    </x:row>
    <x:row r="8" ht="15" hidden="0" customHeight="1">
      <x:c r="A8" s="1" t="str">
        <x:v>tc_public_15</x:v>
      </x:c>
      <x:c r="B8" s="1" t="str">
        <x:v>r7b_high_overlap_guarded_fraig</x:v>
      </x:c>
      <x:c r="C8" s="1" t="str">
        <x:v>r7b_r7win_fraig_high@clean</x:v>
      </x:c>
      <x:c r="D8" s="1" t="str">
        <x:v>clean</x:v>
      </x:c>
      <x:c r="E8" s="17" t="n">
        <x:v>922</x:v>
      </x:c>
      <x:c r="F8" s="17" t="n">
        <x:v>11</x:v>
      </x:c>
      <x:c r="G8" s="17" t="n">
        <x:v>922</x:v>
      </x:c>
      <x:c r="H8" s="17" t="n">
        <x:v>0</x:v>
      </x:c>
      <x:c r="I8" s="17" t="n">
        <x:v>11</x:v>
      </x:c>
      <x:c r="J8" s="17" t="n">
        <x:v>0</x:v>
      </x:c>
      <x:c r="K8" s="17" t="n">
        <x:v>1.315455</x:v>
      </x:c>
      <x:c r="L8" s="1" t="str">
        <x:v>TRUE</x:v>
      </x:c>
      <x:c r="M8" s="1" t="str">
        <x:v>selected_candidate</x:v>
      </x:c>
    </x:row>
    <x:row r="9" ht="15" hidden="0" customHeight="1">
      <x:c r="A9" s="1" t="str">
        <x:v>tc_public_16</x:v>
      </x:c>
      <x:c r="B9" s="1" t="str">
        <x:v>default</x:v>
      </x:c>
      <x:c r="C9" s="1" t="str">
        <x:v>dc2_fast@clean</x:v>
      </x:c>
      <x:c r="D9" s="1" t="str">
        <x:v>clean</x:v>
      </x:c>
      <x:c r="E9" s="17" t="n">
        <x:v>45</x:v>
      </x:c>
      <x:c r="F9" s="17" t="n">
        <x:v>6</x:v>
      </x:c>
      <x:c r="G9" s="17" t="n">
        <x:v>45</x:v>
      </x:c>
      <x:c r="H9" s="17" t="n">
        <x:v>0</x:v>
      </x:c>
      <x:c r="I9" s="17" t="n">
        <x:v>6</x:v>
      </x:c>
      <x:c r="J9" s="17" t="n">
        <x:v>0</x:v>
      </x:c>
      <x:c r="K9" s="17" t="n">
        <x:v>0.792533</x:v>
      </x:c>
      <x:c r="L9" s="1" t="str">
        <x:v>TRUE</x:v>
      </x:c>
      <x:c r="M9" s="1" t="str">
        <x:v>selected_candidate</x:v>
      </x:c>
    </x:row>
    <x:row r="10" ht="15" hidden="0" customHeight="1">
      <x:c r="A10" s="1" t="str">
        <x:v>tc_public_17</x:v>
      </x:c>
      <x:c r="B10" s="1" t="str">
        <x:v>default</x:v>
      </x:c>
      <x:c r="C10" s="1" t="str">
        <x:v>dc2_fast@clean</x:v>
      </x:c>
      <x:c r="D10" s="1" t="str">
        <x:v>clean</x:v>
      </x:c>
      <x:c r="E10" s="17" t="n">
        <x:v>93</x:v>
      </x:c>
      <x:c r="F10" s="17" t="n">
        <x:v>6</x:v>
      </x:c>
      <x:c r="G10" s="17" t="n">
        <x:v>93</x:v>
      </x:c>
      <x:c r="H10" s="17" t="n">
        <x:v>0</x:v>
      </x:c>
      <x:c r="I10" s="17" t="n">
        <x:v>6</x:v>
      </x:c>
      <x:c r="J10" s="17" t="n">
        <x:v>0</x:v>
      </x:c>
      <x:c r="K10" s="17" t="n">
        <x:v>0.835738</x:v>
      </x:c>
      <x:c r="L10" s="1" t="str">
        <x:v>TRUE</x:v>
      </x:c>
      <x:c r="M10" s="1" t="str">
        <x:v>selected_candidate</x:v>
      </x:c>
    </x:row>
    <x:row r="11" ht="15" hidden="0" customHeight="1">
      <x:c r="A11" s="1" t="str">
        <x:v>tc_public_18</x:v>
      </x:c>
      <x:c r="B11" s="1" t="str">
        <x:v>medium_runtime_fraig_cleanup</x:v>
      </x:c>
      <x:c r="C11" s="1" t="str">
        <x:v>r10_medium_fraig_cleanup@both</x:v>
      </x:c>
      <x:c r="D11" s="1" t="str">
        <x:v>both</x:v>
      </x:c>
      <x:c r="E11" s="17" t="n">
        <x:v>486</x:v>
      </x:c>
      <x:c r="F11" s="17" t="n">
        <x:v>12</x:v>
      </x:c>
      <x:c r="G11" s="17" t="n">
        <x:v>495</x:v>
      </x:c>
      <x:c r="H11" s="17" t="n">
        <x:v>9</x:v>
      </x:c>
      <x:c r="I11" s="17" t="n">
        <x:v>12</x:v>
      </x:c>
      <x:c r="J11" s="17" t="n">
        <x:v>0</x:v>
      </x:c>
      <x:c r="K11" s="17" t="n">
        <x:v>3.408812</x:v>
      </x:c>
      <x:c r="L11" s="1" t="str">
        <x:v>TRUE</x:v>
      </x:c>
      <x:c r="M11" s="1" t="str">
        <x:v>selected_candidate</x:v>
      </x:c>
    </x:row>
    <x:row r="12" ht="15" hidden="0" customHeight="1">
      <x:c r="A12" s="1" t="str">
        <x:v>tc_public_19</x:v>
      </x:c>
      <x:c r="B12" s="1" t="str">
        <x:v>large_smallpo_fraig_cleanup</x:v>
      </x:c>
      <x:c r="C12" s="1" t="str">
        <x:v>r9_dc2_fraig_cleanup@inputs</x:v>
      </x:c>
      <x:c r="D12" s="1" t="str">
        <x:v>inputs</x:v>
      </x:c>
      <x:c r="E12" s="17" t="n">
        <x:v>5184</x:v>
      </x:c>
      <x:c r="F12" s="17" t="n">
        <x:v>18</x:v>
      </x:c>
      <x:c r="G12" s="17" t="n">
        <x:v>5268</x:v>
      </x:c>
      <x:c r="H12" s="17" t="n">
        <x:v>84</x:v>
      </x:c>
      <x:c r="I12" s="17" t="n">
        <x:v>18</x:v>
      </x:c>
      <x:c r="J12" s="17" t="n">
        <x:v>0</x:v>
      </x:c>
      <x:c r="K12" s="17" t="n">
        <x:v>43.959576</x:v>
      </x:c>
      <x:c r="L12" s="1" t="str">
        <x:v>TRUE</x:v>
      </x:c>
      <x:c r="M12" s="1" t="str">
        <x:v>selected_candidate</x:v>
      </x:c>
    </x:row>
    <x:row r="13" ht="15" hidden="0" customHeight="1">
      <x:c r="A13" s="1" t="str">
        <x:v>tc_public_2</x:v>
      </x:c>
      <x:c r="B13" s="1" t="str">
        <x:v>tiny_high_fanin_sop</x:v>
      </x:c>
      <x:c r="C13" s="1" t="str">
        <x:v>sop_fx@clean</x:v>
      </x:c>
      <x:c r="D13" s="1" t="str">
        <x:v>clean</x:v>
      </x:c>
      <x:c r="E13" s="17" t="n">
        <x:v>19</x:v>
      </x:c>
      <x:c r="F13" s="17" t="n">
        <x:v>4</x:v>
      </x:c>
      <x:c r="G13" s="17" t="n">
        <x:v>19</x:v>
      </x:c>
      <x:c r="H13" s="17" t="n">
        <x:v>0</x:v>
      </x:c>
      <x:c r="I13" s="17" t="n">
        <x:v>4</x:v>
      </x:c>
      <x:c r="J13" s="17" t="n">
        <x:v>0</x:v>
      </x:c>
      <x:c r="K13" s="17" t="n">
        <x:v>0.671729</x:v>
      </x:c>
      <x:c r="L13" s="1" t="str">
        <x:v>TRUE</x:v>
      </x:c>
      <x:c r="M13" s="1" t="str">
        <x:v>selected_candidate</x:v>
      </x:c>
    </x:row>
    <x:row r="14" ht="15" hidden="0" customHeight="1">
      <x:c r="A14" s="1" t="str">
        <x:v>tc_public_20</x:v>
      </x:c>
      <x:c r="B14" s="1" t="str">
        <x:v>large_smallpo_fraig_cleanup</x:v>
      </x:c>
      <x:c r="C14" s="1" t="str">
        <x:v>r9_dc2_fraig_cleanup@inputs</x:v>
      </x:c>
      <x:c r="D14" s="1" t="str">
        <x:v>inputs</x:v>
      </x:c>
      <x:c r="E14" s="17" t="n">
        <x:v>5445</x:v>
      </x:c>
      <x:c r="F14" s="17" t="n">
        <x:v>20</x:v>
      </x:c>
      <x:c r="G14" s="17" t="n">
        <x:v>5523</x:v>
      </x:c>
      <x:c r="H14" s="17" t="n">
        <x:v>78</x:v>
      </x:c>
      <x:c r="I14" s="17" t="n">
        <x:v>20</x:v>
      </x:c>
      <x:c r="J14" s="17" t="n">
        <x:v>0</x:v>
      </x:c>
      <x:c r="K14" s="17" t="n">
        <x:v>49.822614</x:v>
      </x:c>
      <x:c r="L14" s="1" t="str">
        <x:v>TRUE</x:v>
      </x:c>
      <x:c r="M14" s="1" t="str">
        <x:v>selected_candidate</x:v>
      </x:c>
    </x:row>
    <x:row r="15" ht="15" hidden="0" customHeight="1">
      <x:c r="A15" s="1" t="str">
        <x:v>tc_public_21</x:v>
      </x:c>
      <x:c r="B15" s="1" t="str">
        <x:v>large_smallpo_fraig_cleanup</x:v>
      </x:c>
      <x:c r="C15" s="1" t="str">
        <x:v>r9_dc2_fraig_cleanup@inputs</x:v>
      </x:c>
      <x:c r="D15" s="1" t="str">
        <x:v>inputs</x:v>
      </x:c>
      <x:c r="E15" s="17" t="n">
        <x:v>5448</x:v>
      </x:c>
      <x:c r="F15" s="17" t="n">
        <x:v>20</x:v>
      </x:c>
      <x:c r="G15" s="17" t="n">
        <x:v>5532</x:v>
      </x:c>
      <x:c r="H15" s="17" t="n">
        <x:v>84</x:v>
      </x:c>
      <x:c r="I15" s="17" t="n">
        <x:v>20</x:v>
      </x:c>
      <x:c r="J15" s="17" t="n">
        <x:v>0</x:v>
      </x:c>
      <x:c r="K15" s="17" t="n">
        <x:v>50.227304</x:v>
      </x:c>
      <x:c r="L15" s="1" t="str">
        <x:v>TRUE</x:v>
      </x:c>
      <x:c r="M15" s="1" t="str">
        <x:v>selected_candidate</x:v>
      </x:c>
    </x:row>
    <x:row r="16" ht="15" hidden="0" customHeight="1">
      <x:c r="A16" s="1" t="str">
        <x:v>tc_public_22</x:v>
      </x:c>
      <x:c r="B16" s="1" t="str">
        <x:v>large_smallpo_fraig_cleanup</x:v>
      </x:c>
      <x:c r="C16" s="1" t="str">
        <x:v>r9_dc2_fraig_cleanup@both</x:v>
      </x:c>
      <x:c r="D16" s="1" t="str">
        <x:v>both</x:v>
      </x:c>
      <x:c r="E16" s="17" t="n">
        <x:v>10740</x:v>
      </x:c>
      <x:c r="F16" s="17" t="n">
        <x:v>20</x:v>
      </x:c>
      <x:c r="G16" s="17" t="n">
        <x:v>11001</x:v>
      </x:c>
      <x:c r="H16" s="17" t="n">
        <x:v>261</x:v>
      </x:c>
      <x:c r="I16" s="17" t="n">
        <x:v>20</x:v>
      </x:c>
      <x:c r="J16" s="17" t="n">
        <x:v>0</x:v>
      </x:c>
      <x:c r="K16" s="17" t="n">
        <x:v>83.581152</x:v>
      </x:c>
      <x:c r="L16" s="1" t="str">
        <x:v>TRUE</x:v>
      </x:c>
      <x:c r="M16" s="1" t="str">
        <x:v>selected_candidate</x:v>
      </x:c>
    </x:row>
    <x:row r="17" ht="15" hidden="0" customHeight="1">
      <x:c r="A17" s="1" t="str">
        <x:v>tc_public_23</x:v>
      </x:c>
      <x:c r="B17" s="1" t="str">
        <x:v>r11_deepsyn_medium_tiny_po</x:v>
      </x:c>
      <x:c r="C17" s="1" t="str">
        <x:v>r11_gia_deepsyn_tiny@clean</x:v>
      </x:c>
      <x:c r="D17" s="1" t="str">
        <x:v>clean</x:v>
      </x:c>
      <x:c r="E17" s="17" t="n">
        <x:v>1458</x:v>
      </x:c>
      <x:c r="F17" s="17" t="n">
        <x:v>14</x:v>
      </x:c>
      <x:c r="G17" s="17" t="n">
        <x:v>1530</x:v>
      </x:c>
      <x:c r="H17" s="17" t="n">
        <x:v>72</x:v>
      </x:c>
      <x:c r="I17" s="17" t="n">
        <x:v>16</x:v>
      </x:c>
      <x:c r="J17" s="17" t="n">
        <x:v>-2</x:v>
      </x:c>
      <x:c r="K17" s="17" t="n">
        <x:v>27.190764</x:v>
      </x:c>
      <x:c r="L17" s="1" t="str">
        <x:v>TRUE</x:v>
      </x:c>
      <x:c r="M17" s="1" t="str">
        <x:v>selected_candidate</x:v>
      </x:c>
    </x:row>
    <x:row r="18" ht="15" hidden="0" customHeight="1">
      <x:c r="A18" s="1" t="str">
        <x:v>tc_public_24</x:v>
      </x:c>
      <x:c r="B18" s="1" t="str">
        <x:v>default</x:v>
      </x:c>
      <x:c r="C18" s="1" t="str">
        <x:v>dc2_fast@clean</x:v>
      </x:c>
      <x:c r="D18" s="1" t="str">
        <x:v>clean</x:v>
      </x:c>
      <x:c r="E18" s="17" t="n">
        <x:v>215</x:v>
      </x:c>
      <x:c r="F18" s="17" t="n">
        <x:v>8</x:v>
      </x:c>
      <x:c r="G18" s="17" t="n">
        <x:v>215</x:v>
      </x:c>
      <x:c r="H18" s="17" t="n">
        <x:v>0</x:v>
      </x:c>
      <x:c r="I18" s="17" t="n">
        <x:v>8</x:v>
      </x:c>
      <x:c r="J18" s="17" t="n">
        <x:v>0</x:v>
      </x:c>
      <x:c r="K18" s="17" t="n">
        <x:v>0.857046</x:v>
      </x:c>
      <x:c r="L18" s="1" t="str">
        <x:v>TRUE</x:v>
      </x:c>
      <x:c r="M18" s="1" t="str">
        <x:v>selected_candidate</x:v>
      </x:c>
    </x:row>
    <x:row r="19" ht="15" hidden="0" customHeight="1">
      <x:c r="A19" s="1" t="str">
        <x:v>tc_public_25</x:v>
      </x:c>
      <x:c r="B19" s="1" t="str">
        <x:v>default</x:v>
      </x:c>
      <x:c r="C19" s="1" t="str">
        <x:v>dc2_fast@clean</x:v>
      </x:c>
      <x:c r="D19" s="1" t="str">
        <x:v>clean</x:v>
      </x:c>
      <x:c r="E19" s="17" t="n">
        <x:v>26</x:v>
      </x:c>
      <x:c r="F19" s="17" t="n">
        <x:v>4</x:v>
      </x:c>
      <x:c r="G19" s="17" t="n">
        <x:v>26</x:v>
      </x:c>
      <x:c r="H19" s="17" t="n">
        <x:v>0</x:v>
      </x:c>
      <x:c r="I19" s="17" t="n">
        <x:v>4</x:v>
      </x:c>
      <x:c r="J19" s="17" t="n">
        <x:v>0</x:v>
      </x:c>
      <x:c r="K19" s="17" t="n">
        <x:v>0.839546</x:v>
      </x:c>
      <x:c r="L19" s="1" t="str">
        <x:v>TRUE</x:v>
      </x:c>
      <x:c r="M19" s="1" t="str">
        <x:v>selected_candidate</x:v>
      </x:c>
    </x:row>
    <x:row r="20" ht="15" hidden="0" customHeight="1">
      <x:c r="A20" s="1" t="str">
        <x:v>tc_public_26</x:v>
      </x:c>
      <x:c r="B20" s="1" t="str">
        <x:v>r11_deepsyn_medium_small_pi_medium_po</x:v>
      </x:c>
      <x:c r="C20" s="1" t="str">
        <x:v>r11_gia_deepsyn_tiny@outputs</x:v>
      </x:c>
      <x:c r="D20" s="1" t="str">
        <x:v>outputs</x:v>
      </x:c>
      <x:c r="E20" s="17" t="n">
        <x:v>1034</x:v>
      </x:c>
      <x:c r="F20" s="17" t="n">
        <x:v>10</x:v>
      </x:c>
      <x:c r="G20" s="17" t="n">
        <x:v>1046</x:v>
      </x:c>
      <x:c r="H20" s="17" t="n">
        <x:v>12</x:v>
      </x:c>
      <x:c r="I20" s="17" t="n">
        <x:v>10</x:v>
      </x:c>
      <x:c r="J20" s="17" t="n">
        <x:v>0</x:v>
      </x:c>
      <x:c r="K20" s="17" t="n">
        <x:v>21.850285</x:v>
      </x:c>
      <x:c r="L20" s="1" t="str">
        <x:v>TRUE</x:v>
      </x:c>
      <x:c r="M20" s="1" t="str">
        <x:v>selected_candidate</x:v>
      </x:c>
    </x:row>
    <x:row r="21" ht="15" hidden="0" customHeight="1">
      <x:c r="A21" s="1" t="str">
        <x:v>tc_public_27</x:v>
      </x:c>
      <x:c r="B21" s="1" t="str">
        <x:v>default</x:v>
      </x:c>
      <x:c r="C21" s="1" t="str">
        <x:v>dc2_fast@clean</x:v>
      </x:c>
      <x:c r="D21" s="1" t="str">
        <x:v>clean</x:v>
      </x:c>
      <x:c r="E21" s="17" t="n">
        <x:v>376</x:v>
      </x:c>
      <x:c r="F21" s="17" t="n">
        <x:v>7</x:v>
      </x:c>
      <x:c r="G21" s="17" t="n">
        <x:v>376</x:v>
      </x:c>
      <x:c r="H21" s="17" t="n">
        <x:v>0</x:v>
      </x:c>
      <x:c r="I21" s="17" t="n">
        <x:v>7</x:v>
      </x:c>
      <x:c r="J21" s="17" t="n">
        <x:v>0</x:v>
      </x:c>
      <x:c r="K21" s="17" t="n">
        <x:v>0.931732</x:v>
      </x:c>
      <x:c r="L21" s="1" t="str">
        <x:v>TRUE</x:v>
      </x:c>
      <x:c r="M21" s="1" t="str">
        <x:v>selected_candidate</x:v>
      </x:c>
    </x:row>
    <x:row r="22" ht="15" hidden="0" customHeight="1">
      <x:c r="A22" s="1" t="str">
        <x:v>tc_public_28</x:v>
      </x:c>
      <x:c r="B22" s="1" t="str">
        <x:v>default</x:v>
      </x:c>
      <x:c r="C22" s="1" t="str">
        <x:v>dc2_fast@clean</x:v>
      </x:c>
      <x:c r="D22" s="1" t="str">
        <x:v>clean</x:v>
      </x:c>
      <x:c r="E22" s="17" t="n">
        <x:v>520</x:v>
      </x:c>
      <x:c r="F22" s="17" t="n">
        <x:v>7</x:v>
      </x:c>
      <x:c r="G22" s="17" t="n">
        <x:v>520</x:v>
      </x:c>
      <x:c r="H22" s="17" t="n">
        <x:v>0</x:v>
      </x:c>
      <x:c r="I22" s="17" t="n">
        <x:v>7</x:v>
      </x:c>
      <x:c r="J22" s="17" t="n">
        <x:v>0</x:v>
      </x:c>
      <x:c r="K22" s="17" t="n">
        <x:v>1.002444</x:v>
      </x:c>
      <x:c r="L22" s="1" t="str">
        <x:v>TRUE</x:v>
      </x:c>
      <x:c r="M22" s="1" t="str">
        <x:v>selected_candidate</x:v>
      </x:c>
    </x:row>
    <x:row r="23" ht="15" hidden="0" customHeight="1">
      <x:c r="A23" s="1" t="str">
        <x:v>tc_public_29</x:v>
      </x:c>
      <x:c r="B23" s="1" t="str">
        <x:v>r11_deepsyn_small_small_pi_small_po</x:v>
      </x:c>
      <x:c r="C23" s="1" t="str">
        <x:v>r11_gia_deepsyn_tiny@inputs</x:v>
      </x:c>
      <x:c r="D23" s="1" t="str">
        <x:v>inputs</x:v>
      </x:c>
      <x:c r="E23" s="17" t="n">
        <x:v>97</x:v>
      </x:c>
      <x:c r="F23" s="17" t="n">
        <x:v>6</x:v>
      </x:c>
      <x:c r="G23" s="17" t="n">
        <x:v>109</x:v>
      </x:c>
      <x:c r="H23" s="17" t="n">
        <x:v>12</x:v>
      </x:c>
      <x:c r="I23" s="17" t="n">
        <x:v>7</x:v>
      </x:c>
      <x:c r="J23" s="17" t="n">
        <x:v>-1</x:v>
      </x:c>
      <x:c r="K23" s="17" t="n">
        <x:v>5.701907</x:v>
      </x:c>
      <x:c r="L23" s="1" t="str">
        <x:v>TRUE</x:v>
      </x:c>
      <x:c r="M23" s="1" t="str">
        <x:v>selected_candidate</x:v>
      </x:c>
    </x:row>
    <x:row r="24" ht="15" hidden="0" customHeight="1">
      <x:c r="A24" s="1" t="str">
        <x:v>tc_public_3</x:v>
      </x:c>
      <x:c r="B24" s="1" t="str">
        <x:v>r11_deepsyn_tiny_high_sop_small_po</x:v>
      </x:c>
      <x:c r="C24" s="1" t="str">
        <x:v>r11_gia_deepsyn_tiny@clean</x:v>
      </x:c>
      <x:c r="D24" s="1" t="str">
        <x:v>clean</x:v>
      </x:c>
      <x:c r="E24" s="17" t="n">
        <x:v>94</x:v>
      </x:c>
      <x:c r="F24" s="17" t="n">
        <x:v>8</x:v>
      </x:c>
      <x:c r="G24" s="17" t="n">
        <x:v>108</x:v>
      </x:c>
      <x:c r="H24" s="17" t="n">
        <x:v>14</x:v>
      </x:c>
      <x:c r="I24" s="17" t="n">
        <x:v>8</x:v>
      </x:c>
      <x:c r="J24" s="17" t="n">
        <x:v>0</x:v>
      </x:c>
      <x:c r="K24" s="17" t="n">
        <x:v>12.454669</x:v>
      </x:c>
      <x:c r="L24" s="1" t="str">
        <x:v>TRUE</x:v>
      </x:c>
      <x:c r="M24" s="1" t="str">
        <x:v>selected_candidate</x:v>
      </x:c>
    </x:row>
    <x:row r="25" ht="15" hidden="0" customHeight="1">
      <x:c r="A25" s="1" t="str">
        <x:v>tc_public_30</x:v>
      </x:c>
      <x:c r="B25" s="1" t="str">
        <x:v>r11_deepsyn_large_low_pi_small_po</x:v>
      </x:c>
      <x:c r="C25" s="1" t="str">
        <x:v>r11_gia_deepsyn_tiny@clean</x:v>
      </x:c>
      <x:c r="D25" s="1" t="str">
        <x:v>clean</x:v>
      </x:c>
      <x:c r="E25" s="17" t="n">
        <x:v>2853</x:v>
      </x:c>
      <x:c r="F25" s="17" t="n">
        <x:v>18</x:v>
      </x:c>
      <x:c r="G25" s="17" t="n">
        <x:v>4806</x:v>
      </x:c>
      <x:c r="H25" s="17" t="n">
        <x:v>1953</x:v>
      </x:c>
      <x:c r="I25" s="17" t="n">
        <x:v>21</x:v>
      </x:c>
      <x:c r="J25" s="17" t="n">
        <x:v>-3</x:v>
      </x:c>
      <x:c r="K25" s="17" t="n">
        <x:v>137.197468</x:v>
      </x:c>
      <x:c r="L25" s="1" t="str">
        <x:v>TRUE</x:v>
      </x:c>
      <x:c r="M25" s="1" t="str">
        <x:v>selected_candidate</x:v>
      </x:c>
    </x:row>
    <x:row r="26" ht="15" hidden="0" customHeight="1">
      <x:c r="A26" s="1" t="str">
        <x:v>tc_public_4</x:v>
      </x:c>
      <x:c r="B26" s="1" t="str">
        <x:v>r11_deepsyn_tiny_high_sop_small_po</x:v>
      </x:c>
      <x:c r="C26" s="1" t="str">
        <x:v>r11_gia_deepsyn_tiny@inputs</x:v>
      </x:c>
      <x:c r="D26" s="1" t="str">
        <x:v>inputs</x:v>
      </x:c>
      <x:c r="E26" s="17" t="n">
        <x:v>61</x:v>
      </x:c>
      <x:c r="F26" s="17" t="n">
        <x:v>8</x:v>
      </x:c>
      <x:c r="G26" s="17" t="n">
        <x:v>69</x:v>
      </x:c>
      <x:c r="H26" s="17" t="n">
        <x:v>8</x:v>
      </x:c>
      <x:c r="I26" s="17" t="n">
        <x:v>8</x:v>
      </x:c>
      <x:c r="J26" s="17" t="n">
        <x:v>0</x:v>
      </x:c>
      <x:c r="K26" s="17" t="n">
        <x:v>6.472035</x:v>
      </x:c>
      <x:c r="L26" s="1" t="str">
        <x:v>TRUE</x:v>
      </x:c>
      <x:c r="M26" s="1" t="str">
        <x:v>selected_candidate</x:v>
      </x:c>
    </x:row>
    <x:row r="27" ht="15" hidden="0" customHeight="1">
      <x:c r="A27" s="1" t="str">
        <x:v>tc_public_5</x:v>
      </x:c>
      <x:c r="B27" s="1" t="str">
        <x:v>default</x:v>
      </x:c>
      <x:c r="C27" s="1" t="str">
        <x:v>dc2_fast@clean</x:v>
      </x:c>
      <x:c r="D27" s="1" t="str">
        <x:v>clean</x:v>
      </x:c>
      <x:c r="E27" s="17" t="n">
        <x:v>65</x:v>
      </x:c>
      <x:c r="F27" s="17" t="n">
        <x:v>2</x:v>
      </x:c>
      <x:c r="G27" s="17" t="n">
        <x:v>65</x:v>
      </x:c>
      <x:c r="H27" s="17" t="n">
        <x:v>0</x:v>
      </x:c>
      <x:c r="I27" s="17" t="n">
        <x:v>2</x:v>
      </x:c>
      <x:c r="J27" s="17" t="n">
        <x:v>0</x:v>
      </x:c>
      <x:c r="K27" s="17" t="n">
        <x:v>0.811494</x:v>
      </x:c>
      <x:c r="L27" s="1" t="str">
        <x:v>TRUE</x:v>
      </x:c>
      <x:c r="M27" s="1" t="str">
        <x:v>selected_candidate</x:v>
      </x:c>
    </x:row>
    <x:row r="28" ht="15" hidden="0" customHeight="1">
      <x:c r="A28" s="1" t="str">
        <x:v>tc_public_6</x:v>
      </x:c>
      <x:c r="B28" s="1" t="str">
        <x:v>tiny_high_fanin_sop</x:v>
      </x:c>
      <x:c r="C28" s="1" t="str">
        <x:v>sop_fx@clean</x:v>
      </x:c>
      <x:c r="D28" s="1" t="str">
        <x:v>clean</x:v>
      </x:c>
      <x:c r="E28" s="17" t="n">
        <x:v>162</x:v>
      </x:c>
      <x:c r="F28" s="17" t="n">
        <x:v>4</x:v>
      </x:c>
      <x:c r="G28" s="17" t="n">
        <x:v>162</x:v>
      </x:c>
      <x:c r="H28" s="17" t="n">
        <x:v>0</x:v>
      </x:c>
      <x:c r="I28" s="17" t="n">
        <x:v>4</x:v>
      </x:c>
      <x:c r="J28" s="17" t="n">
        <x:v>0</x:v>
      </x:c>
      <x:c r="K28" s="17" t="n">
        <x:v>0.712458</x:v>
      </x:c>
      <x:c r="L28" s="1" t="str">
        <x:v>TRUE</x:v>
      </x:c>
      <x:c r="M28" s="1" t="str">
        <x:v>selected_candidate</x:v>
      </x:c>
    </x:row>
    <x:row r="29" ht="15" hidden="0" customHeight="1">
      <x:c r="A29" s="1" t="str">
        <x:v>tc_public_7</x:v>
      </x:c>
      <x:c r="B29" s="1" t="str">
        <x:v>r11_deepsyn_small_high_sop_low_two</x:v>
      </x:c>
      <x:c r="C29" s="1" t="str">
        <x:v>r11_gia_deepsyn_tiny@clean</x:v>
      </x:c>
      <x:c r="D29" s="1" t="str">
        <x:v>clean</x:v>
      </x:c>
      <x:c r="E29" s="17" t="n">
        <x:v>191</x:v>
      </x:c>
      <x:c r="F29" s="17" t="n">
        <x:v>3</x:v>
      </x:c>
      <x:c r="G29" s="17" t="n">
        <x:v>252</x:v>
      </x:c>
      <x:c r="H29" s="17" t="n">
        <x:v>61</x:v>
      </x:c>
      <x:c r="I29" s="17" t="n">
        <x:v>3</x:v>
      </x:c>
      <x:c r="J29" s="17" t="n">
        <x:v>0</x:v>
      </x:c>
      <x:c r="K29" s="17" t="n">
        <x:v>4.120933</x:v>
      </x:c>
      <x:c r="L29" s="1" t="str">
        <x:v>TRUE</x:v>
      </x:c>
      <x:c r="M29" s="1" t="str">
        <x:v>selected_candidate</x:v>
      </x:c>
    </x:row>
    <x:row r="30" ht="15" hidden="0" customHeight="1">
      <x:c r="A30" s="1" t="str">
        <x:v>tc_public_8</x:v>
      </x:c>
      <x:c r="B30" s="1" t="str">
        <x:v>tiny_high_fanin_sop</x:v>
      </x:c>
      <x:c r="C30" s="1" t="str">
        <x:v>sop_fx@clean</x:v>
      </x:c>
      <x:c r="D30" s="1" t="str">
        <x:v>clean</x:v>
      </x:c>
      <x:c r="E30" s="17" t="n">
        <x:v>193</x:v>
      </x:c>
      <x:c r="F30" s="17" t="n">
        <x:v>3</x:v>
      </x:c>
      <x:c r="G30" s="17" t="n">
        <x:v>193</x:v>
      </x:c>
      <x:c r="H30" s="17" t="n">
        <x:v>0</x:v>
      </x:c>
      <x:c r="I30" s="17" t="n">
        <x:v>3</x:v>
      </x:c>
      <x:c r="J30" s="17" t="n">
        <x:v>0</x:v>
      </x:c>
      <x:c r="K30" s="17" t="n">
        <x:v>0.693603</x:v>
      </x:c>
      <x:c r="L30" s="1" t="str">
        <x:v>TRUE</x:v>
      </x:c>
      <x:c r="M30" s="1" t="str">
        <x:v>selected_candidate</x:v>
      </x:c>
    </x:row>
    <x:row r="31" ht="15" hidden="0" customHeight="1">
      <x:c r="A31" s="1" t="str">
        <x:v>tc_public_9</x:v>
      </x:c>
      <x:c r="B31" s="1" t="str">
        <x:v>r11_deepsyn_tiny_high_sop_medium_po</x:v>
      </x:c>
      <x:c r="C31" s="1" t="str">
        <x:v>r11_gia_deepsyn_tiny@clean</x:v>
      </x:c>
      <x:c r="D31" s="1" t="str">
        <x:v>clean</x:v>
      </x:c>
      <x:c r="E31" s="17" t="n">
        <x:v>194</x:v>
      </x:c>
      <x:c r="F31" s="17" t="n">
        <x:v>4</x:v>
      </x:c>
      <x:c r="G31" s="17" t="n">
        <x:v>224</x:v>
      </x:c>
      <x:c r="H31" s="17" t="n">
        <x:v>30</x:v>
      </x:c>
      <x:c r="I31" s="17" t="n">
        <x:v>5</x:v>
      </x:c>
      <x:c r="J31" s="17" t="n">
        <x:v>-1</x:v>
      </x:c>
      <x:c r="K31" s="17" t="n">
        <x:v>5.458987</x:v>
      </x:c>
      <x:c r="L31" s="1" t="str">
        <x:v>TRUE</x:v>
      </x:c>
      <x:c r="M31" s="1" t="str">
        <x:v>selected_candidate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1299991607666" hidden="0" customWidth="1"/>
    <x:col min="2" max="2" width="5" hidden="0" customWidth="1"/>
    <x:col min="3" max="3" width="62.380001068115234" hidden="0" customWidth="1"/>
  </x:cols>
  <x:sheetData>
    <x:row r="1" ht="15" hidden="0" customHeight="1">
      <x:c r="A1" s="4" t="str">
        <x:v>check</x:v>
      </x:c>
      <x:c r="B1" s="4" t="str">
        <x:v>status</x:v>
      </x:c>
      <x:c r="C1" s="4" t="str">
        <x:v>detail</x:v>
      </x:c>
    </x:row>
    <x:row r="2" ht="15" hidden="0" customHeight="1">
      <x:c r="A2" s="1" t="str">
        <x:v>abc_exists</x:v>
      </x:c>
      <x:c r="B2" s="1" t="str">
        <x:v>PASS</x:v>
      </x:c>
      <x:c r="C2" s="1" t="str">
        <x:v>submit\bin\abc.exe</x:v>
      </x:c>
    </x:row>
    <x:row r="3" ht="15" hidden="0" customHeight="1">
      <x:c r="A3" s="1" t="str">
        <x:v>metrics_exists</x:v>
      </x:c>
      <x:c r="B3" s="1" t="str">
        <x:v>PASS</x:v>
      </x:c>
      <x:c r="C3" s="1" t="str">
        <x:v>reports\r11s_packaging_dryrun_full30_metrics.csv</x:v>
      </x:c>
    </x:row>
    <x:row r="4" ht="15" hidden="0" customHeight="1">
      <x:c r="A4" s="1" t="str">
        <x:v>cec_log_exists</x:v>
      </x:c>
      <x:c r="B4" s="1" t="str">
        <x:v>PASS</x:v>
      </x:c>
      <x:c r="C4" s="1" t="str">
        <x:v>logs\r11s_packaging_dryrun_full30_cec.log</x:v>
      </x:c>
    </x:row>
    <x:row r="5" ht="15" hidden="0" customHeight="1">
      <x:c r="A5" s="1" t="str">
        <x:v>packaged_cec_log_exists</x:v>
      </x:c>
      <x:c r="B5" s="1" t="str">
        <x:v>PASS</x:v>
      </x:c>
      <x:c r="C5" s="1" t="str">
        <x:v>logs\r11s_packaging_dryrun_reproduce_cec.log</x:v>
      </x:c>
    </x:row>
    <x:row r="6" ht="15" hidden="0" customHeight="1">
      <x:c r="A6" s="1" t="str">
        <x:v>packaged_cec_inside_log_exists</x:v>
      </x:c>
      <x:c r="B6" s="1" t="str">
        <x:v>PASS</x:v>
      </x:c>
      <x:c r="C6" s="1" t="str">
        <x:v>logs\r11s_packaging_dryrun_reproduce_cec_inside.log</x:v>
      </x:c>
    </x:row>
    <x:row r="7" ht="15" hidden="0" customHeight="1">
      <x:c r="A7" s="1" t="str">
        <x:v>packaged_singlecase_cec_log_exists</x:v>
      </x:c>
      <x:c r="B7" s="1" t="str">
        <x:v>PASS</x:v>
      </x:c>
      <x:c r="C7" s="1" t="str">
        <x:v>logs\r11s_packaged_tc10_cec.log</x:v>
      </x:c>
    </x:row>
    <x:row r="8" ht="15" hidden="0" customHeight="1">
      <x:c r="A8" s="1" t="str">
        <x:v>failure_cases_exists</x:v>
      </x:c>
      <x:c r="B8" s="1" t="str">
        <x:v>PASS</x:v>
      </x:c>
      <x:c r="C8" s="1" t="str">
        <x:v>reports\r11s_packaging_dryrun_failure_cases.md</x:v>
      </x:c>
    </x:row>
    <x:row r="9" ht="15" hidden="0" customHeight="1">
      <x:c r="A9" s="1" t="str">
        <x:v>scoreboard_exists</x:v>
      </x:c>
      <x:c r="B9" s="1" t="str">
        <x:v>PASS</x:v>
      </x:c>
      <x:c r="C9" s="1" t="str">
        <x:v>reports\final_scoreboard.xlsx</x:v>
      </x:c>
    </x:row>
    <x:row r="10" ht="15" hidden="0" customHeight="1">
      <x:c r="A10" s="1" t="str">
        <x:v>selector_exists</x:v>
      </x:c>
      <x:c r="B10" s="1" t="str">
        <x:v>PASS</x:v>
      </x:c>
      <x:c r="C10" s="1" t="str">
        <x:v>configs\final_selector.yaml</x:v>
      </x:c>
    </x:row>
    <x:row r="11" ht="15" hidden="0" customHeight="1">
      <x:c r="A11" s="1" t="str">
        <x:v>pipelines_exists</x:v>
      </x:c>
      <x:c r="B11" s="1" t="str">
        <x:v>PASS</x:v>
      </x:c>
      <x:c r="C11" s="1" t="str">
        <x:v>configs\pipelines.yaml</x:v>
      </x:c>
    </x:row>
    <x:row r="12" ht="15" hidden="0" customHeight="1">
      <x:c r="A12" s="1" t="str">
        <x:v>package_script_exists</x:v>
      </x:c>
      <x:c r="B12" s="1" t="str">
        <x:v>PASS</x:v>
      </x:c>
      <x:c r="C12" s="1" t="str">
        <x:v>tools\package_submit.py</x:v>
      </x:c>
    </x:row>
    <x:row r="13" ht="15" hidden="0" customHeight="1">
      <x:c r="A13" s="1" t="str">
        <x:v>metrics_rows</x:v>
      </x:c>
      <x:c r="B13" s="1" t="str">
        <x:v>PASS</x:v>
      </x:c>
      <x:c r="C13" s="1" t="str">
        <x:v>30 expected 30</x:v>
      </x:c>
    </x:row>
    <x:row r="14" ht="15" hidden="0" customHeight="1">
      <x:c r="A14" s="1" t="str">
        <x:v>metrics_nodes</x:v>
      </x:c>
      <x:c r="B14" s="1" t="str">
        <x:v>PASS</x:v>
      </x:c>
      <x:c r="C14" s="1" t="str">
        <x:v>41004 expected 41004</x:v>
      </x:c>
    </x:row>
    <x:row r="15" ht="15" hidden="0" customHeight="1">
      <x:c r="A15" s="1" t="str">
        <x:v>metrics_max_level</x:v>
      </x:c>
      <x:c r="B15" s="1" t="str">
        <x:v>PASS</x:v>
      </x:c>
      <x:c r="C15" s="1" t="str">
        <x:v>20 expected 20</x:v>
      </x:c>
    </x:row>
    <x:row r="16" ht="15" hidden="0" customHeight="1">
      <x:c r="A16" s="1" t="str">
        <x:v>metrics_total_levels</x:v>
      </x:c>
      <x:c r="B16" s="1" t="str">
        <x:v>PASS</x:v>
      </x:c>
      <x:c r="C16" s="1" t="str">
        <x:v>285 expected 285</x:v>
      </x:c>
    </x:row>
    <x:row r="17" ht="15" hidden="0" customHeight="1">
      <x:c r="A17" s="1" t="str">
        <x:v>metrics_cec_pass</x:v>
      </x:c>
      <x:c r="B17" s="1" t="str">
        <x:v>PASS</x:v>
      </x:c>
      <x:c r="C17" s="1" t="str">
        <x:v>30 expected 30</x:v>
      </x:c>
    </x:row>
    <x:row r="18" ht="15" hidden="0" customHeight="1">
      <x:c r="A18" s="1" t="str">
        <x:v>metrics_fallback</x:v>
      </x:c>
      <x:c r="B18" s="1" t="str">
        <x:v>PASS</x:v>
      </x:c>
      <x:c r="C18" s="1" t="str">
        <x:v>0 expected 0</x:v>
      </x:c>
    </x:row>
    <x:row r="19" ht="15" hidden="0" customHeight="1">
      <x:c r="A19" s="1" t="str">
        <x:v>metrics_inner_fallback</x:v>
      </x:c>
      <x:c r="B19" s="1" t="str">
        <x:v>PASS</x:v>
      </x:c>
      <x:c r="C19" s="1" t="str">
        <x:v>0 expected 0</x:v>
      </x:c>
    </x:row>
    <x:row r="20" ht="15" hidden="0" customHeight="1">
      <x:c r="A20" s="1" t="str">
        <x:v>metrics_bad_entry</x:v>
      </x:c>
      <x:c r="B20" s="1" t="str">
        <x:v>PASS</x:v>
      </x:c>
      <x:c r="C20" s="1" t="str">
        <x:v>0 expected 0</x:v>
      </x:c>
    </x:row>
    <x:row r="21" ht="15" hidden="0" customHeight="1">
      <x:c r="A21" s="1" t="str">
        <x:v>full_cec_equivalent</x:v>
      </x:c>
      <x:c r="B21" s="1" t="str">
        <x:v>PASS</x:v>
      </x:c>
      <x:c r="C21" s="1" t="str">
        <x:v>{'equivalent': 30, 'not_equivalent': 0, 'non_rc_cannot_open': 0, 'failed': 0, 'error': 0}</x:v>
      </x:c>
    </x:row>
    <x:row r="22" ht="15" hidden="0" customHeight="1">
      <x:c r="A22" s="1" t="str">
        <x:v>packaged_cec_equivalent</x:v>
      </x:c>
      <x:c r="B22" s="1" t="str">
        <x:v>PASS</x:v>
      </x:c>
      <x:c r="C22" s="1" t="str">
        <x:v>{'equivalent': 30, 'not_equivalent': 0, 'non_rc_cannot_open': 0, 'failed': 0, 'error': 0}</x:v>
      </x:c>
    </x:row>
    <x:row r="23" ht="15" hidden="0" customHeight="1">
      <x:c r="A23" s="1" t="str">
        <x:v>packaged_cec_inside_equivalent</x:v>
      </x:c>
      <x:c r="B23" s="1" t="str">
        <x:v>PASS</x:v>
      </x:c>
      <x:c r="C23" s="1" t="str">
        <x:v>{'equivalent': 30, 'not_equivalent': 0, 'non_rc_cannot_open': 0, 'failed': 0, 'error': 0}</x:v>
      </x:c>
    </x:row>
    <x:row r="24" ht="15" hidden="0" customHeight="1">
      <x:c r="A24" s="1" t="str">
        <x:v>packaged_singlecase_cec_equivalent</x:v>
      </x:c>
      <x:c r="B24" s="1" t="str">
        <x:v>PASS</x:v>
      </x:c>
      <x:c r="C24" s="1" t="str">
        <x:v>{'equivalent': 1, 'not_equivalent': 0, 'non_rc_cannot_open': 0, 'failed': 0, 'error': 0}</x:v>
      </x:c>
    </x:row>
    <x:row r="25" ht="15" hidden="0" customHeight="1">
      <x:c r="A25" s="1" t="str">
        <x:v>abc_hash</x:v>
      </x:c>
      <x:c r="B25" s="1" t="str">
        <x:v>PASS</x:v>
      </x:c>
      <x:c r="C25" s="1" t="str">
        <x:v>85F59E6291A1C4B10B757BF163D14D2152EAA974B21BC6F4E13F44EC49969805</x:v>
      </x:c>
    </x:row>
    <x:row r="26" ht="15" hidden="0" customHeight="1">
      <x:c r="A26" s="1" t="str">
        <x:v>abc_r7win_help</x:v>
      </x:c>
      <x:c r="B26" s="1" t="str">
        <x:v>PASS</x:v>
      </x:c>
      <x:c r="C26" s="1" t="str">
        <x:v>returncode=0; has_expected=True</x:v>
      </x:c>
    </x:row>
    <x:row r="27" ht="15" hidden="0" customHeight="1">
      <x:c r="A27" s="1" t="str">
        <x:v>abc_deepsyn_help</x:v>
      </x:c>
      <x:c r="B27" s="1" t="str">
        <x:v>PASS</x:v>
      </x:c>
      <x:c r="C27" s="1" t="str">
        <x:v>returncode=0; has_expected=True</x:v>
      </x:c>
    </x:row>
    <x:row r="28" ht="15" hidden="0" customHeight="1">
      <x:c r="A28" s="1" t="str">
        <x:v>failure_cases_clean</x:v>
      </x:c>
      <x:c r="B28" s="1" t="str">
        <x:v>PASS</x:v>
      </x:c>
      <x:c r="C28" s="1" t="str">
        <x:v>unresolved=0 fallback=0</x:v>
      </x:c>
    </x:row>
    <x:row r="29" ht="15" hidden="0" customHeight="1">
      <x:c r="A29" s="1" t="str">
        <x:v>scoreboard_nonempty</x:v>
      </x:c>
      <x:c r="B29" s="1" t="str">
        <x:v>PASS</x:v>
      </x:c>
      <x:c r="C29" s="1" t="str">
        <x:v>bytes=8916</x:v>
      </x:c>
    </x:row>
    <x:row r="30" ht="15" hidden="0" customHeight="1">
      <x:c r="A30" s="1" t="str">
        <x:v>selector_r11s_rules</x:v>
      </x:c>
      <x:c r="B30" s="1" t="str">
        <x:v>PASS</x:v>
      </x:c>
      <x:c r="C30" s="1" t="str">
        <x:v>missing=[]; forbidden=[]</x:v>
      </x:c>
    </x:row>
    <x:row r="31" ht="15" hidden="0" customHeight="1">
      <x:c r="A31" s="1" t="str">
        <x:v>pipelines_r11s_present</x:v>
      </x:c>
      <x:c r="B31" s="1" t="str">
        <x:v>PASS</x:v>
      </x:c>
      <x:c r="C31" s="1" t="str">
        <x:v>missing=[]</x:v>
      </x:c>
    </x:row>
    <x:row r="32" ht="15" hidden="0" customHeight="1">
      <x:c r="A32" s="1" t="str">
        <x:v>package_submit_runtime_deps</x:v>
      </x:c>
      <x:c r="B32" s="1" t="str">
        <x:v>PASS</x:v>
      </x:c>
      <x:c r="C32" s="1" t="str">
        <x:v>missing=[]</x:v>
      </x:c>
    </x:row>
    <x:row r="33" ht="15" hidden="0" customHeight="1">
      <x:c r="A33" s="1" t="str">
        <x:v>old_formal_zip_unchanged</x:v>
      </x:c>
      <x:c r="B33" s="1" t="str">
        <x:v>PASS</x:v>
      </x:c>
      <x:c r="C33" s="1" t="str">
        <x:v>4B6236AF057009318EA50E39FFC43FFA3A74708B49A07C2F08FD386AB6D1AF8A</x:v>
      </x:c>
    </x:row>
  </x:sheetData>
  <x:pageMargins left="0.7" right="0.7" top="0.75" bottom="0.75" header="0.3" footer="0.3"/>
</x:worksheet>
</file>